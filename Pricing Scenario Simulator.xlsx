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0a7b5ac262390/Desktop/"/>
    </mc:Choice>
  </mc:AlternateContent>
  <xr:revisionPtr revIDLastSave="0" documentId="8_{729AE6E5-DE7D-4CCA-BF70-0F1B8CEE1F96}" xr6:coauthVersionLast="47" xr6:coauthVersionMax="47" xr10:uidLastSave="{00000000-0000-0000-0000-000000000000}"/>
  <bookViews>
    <workbookView xWindow="-110" yWindow="-110" windowWidth="19420" windowHeight="10300" tabRatio="824" xr2:uid="{02F741AB-9964-475E-8FF8-97723D71BC83}"/>
  </bookViews>
  <sheets>
    <sheet name="margin-sensitivity-analysis" sheetId="1" r:id="rId1"/>
    <sheet name="competitor-benchmark-template" sheetId="2" r:id="rId2"/>
    <sheet name="Inputs" sheetId="4" r:id="rId3"/>
    <sheet name="Logic" sheetId="5" r:id="rId4"/>
    <sheet name="Lis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D2" i="4"/>
  <c r="F2" i="4"/>
  <c r="H2" i="4"/>
  <c r="I2" i="4"/>
  <c r="L2" i="4" s="1"/>
  <c r="M2" i="4" s="1"/>
  <c r="N2" i="4" s="1"/>
  <c r="O2" i="4" s="1"/>
  <c r="F2" i="1"/>
</calcChain>
</file>

<file path=xl/sharedStrings.xml><?xml version="1.0" encoding="utf-8"?>
<sst xmlns="http://schemas.openxmlformats.org/spreadsheetml/2006/main" count="85" uniqueCount="47">
  <si>
    <t>Customer Segment</t>
  </si>
  <si>
    <t>Base Price</t>
  </si>
  <si>
    <t>Discount %</t>
  </si>
  <si>
    <t>Final Price</t>
  </si>
  <si>
    <t>Cost</t>
  </si>
  <si>
    <t>Margin %</t>
  </si>
  <si>
    <t>Revenue Impact</t>
  </si>
  <si>
    <t>Retention Probability</t>
  </si>
  <si>
    <t>Enterprise</t>
  </si>
  <si>
    <t>Growth</t>
  </si>
  <si>
    <t>Transactional</t>
  </si>
  <si>
    <t>Price-sensitive</t>
  </si>
  <si>
    <t>Region</t>
  </si>
  <si>
    <t>Competitor A Price</t>
  </si>
  <si>
    <t>Competitor B Price</t>
  </si>
  <si>
    <t>Internal Price</t>
  </si>
  <si>
    <t>Gap %</t>
  </si>
  <si>
    <t>Positioning</t>
  </si>
  <si>
    <t>Recommended Action</t>
  </si>
  <si>
    <t>Premium</t>
  </si>
  <si>
    <t>Parity</t>
  </si>
  <si>
    <t>Discounted</t>
  </si>
  <si>
    <t>Large</t>
  </si>
  <si>
    <t>3+ years</t>
  </si>
  <si>
    <t>High</t>
  </si>
  <si>
    <t>Medium</t>
  </si>
  <si>
    <t>2 years</t>
  </si>
  <si>
    <t>Small</t>
  </si>
  <si>
    <t>1 year</t>
  </si>
  <si>
    <t>Low</t>
  </si>
  <si>
    <t>Volume Commitment</t>
  </si>
  <si>
    <t>Contract Duration</t>
  </si>
  <si>
    <t>Competitive Pressure</t>
  </si>
  <si>
    <t>Risk Level</t>
  </si>
  <si>
    <t>Recommended Discount</t>
  </si>
  <si>
    <t>Total Score</t>
  </si>
  <si>
    <t>Volume Score</t>
  </si>
  <si>
    <t>Duration Score</t>
  </si>
  <si>
    <t>Pressure Score</t>
  </si>
  <si>
    <t>Segment Score</t>
  </si>
  <si>
    <t>Volume</t>
  </si>
  <si>
    <t>Duration</t>
  </si>
  <si>
    <t>Competition</t>
  </si>
  <si>
    <t>Segment</t>
  </si>
  <si>
    <t>Score</t>
  </si>
  <si>
    <t>Condition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</si>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</sst>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9" fontId="0" fillId="0" borderId="1" xfId="1" applyFont="1" applyBorder="1"/>
    <xf numFmtId="9" fontId="0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7C17F4CD-859A-44BE-BE1C-8DD9F41D6F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121C-D8B7-46FE-8BE1-947439E2AE65}">
  <dimension ref="A1:H5"/>
  <sheetViews>
    <sheetView tabSelected="1" workbookViewId="0">
      <selection activeCell="B3" sqref="B3"/>
    </sheetView>
  </sheetViews>
  <sheetFormatPr defaultRowHeight="14.5" x14ac:dyDescent="0.35"/>
  <cols>
    <col min="1" max="1" width="16.6328125" bestFit="1" customWidth="1"/>
    <col min="2" max="2" width="9.1796875" bestFit="1" customWidth="1"/>
    <col min="3" max="3" width="10" bestFit="1" customWidth="1"/>
    <col min="4" max="4" width="9.1796875" bestFit="1" customWidth="1"/>
    <col min="5" max="5" width="4.453125" bestFit="1" customWidth="1"/>
    <col min="6" max="6" width="8.6328125" bestFit="1" customWidth="1"/>
    <col min="7" max="7" width="14.26953125" bestFit="1" customWidth="1"/>
    <col min="8" max="8" width="18.4531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1"/>
      <c r="C2" s="1"/>
      <c r="D2" s="1"/>
      <c r="E2" s="1"/>
      <c r="F2" s="1" t="e">
        <f>(D2-E2)/D2</f>
        <v>#DIV/0!</v>
      </c>
      <c r="G2" s="1"/>
      <c r="H2" s="1"/>
    </row>
    <row r="3" spans="1:8" x14ac:dyDescent="0.35">
      <c r="A3" s="2" t="s">
        <v>9</v>
      </c>
      <c r="B3" s="1"/>
      <c r="C3" s="1"/>
      <c r="D3" s="1"/>
      <c r="E3" s="1"/>
      <c r="F3" s="1"/>
      <c r="G3" s="1"/>
      <c r="H3" s="1"/>
    </row>
    <row r="4" spans="1:8" x14ac:dyDescent="0.35">
      <c r="A4" s="2" t="s">
        <v>10</v>
      </c>
      <c r="B4" s="1"/>
      <c r="C4" s="1"/>
      <c r="D4" s="1"/>
      <c r="E4" s="1"/>
      <c r="F4" s="1"/>
      <c r="G4" s="1"/>
      <c r="H4" s="1"/>
    </row>
    <row r="5" spans="1:8" x14ac:dyDescent="0.35">
      <c r="A5" s="2" t="s">
        <v>11</v>
      </c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8D17-63C0-474D-9900-A56BE0B0723B}">
  <dimension ref="A1:G4"/>
  <sheetViews>
    <sheetView workbookViewId="0">
      <selection activeCell="C4" sqref="C4"/>
    </sheetView>
  </sheetViews>
  <sheetFormatPr defaultRowHeight="14.5" x14ac:dyDescent="0.35"/>
  <cols>
    <col min="1" max="1" width="6.453125" bestFit="1" customWidth="1"/>
    <col min="2" max="2" width="16.453125" bestFit="1" customWidth="1"/>
    <col min="3" max="3" width="16.36328125" bestFit="1" customWidth="1"/>
    <col min="4" max="4" width="11.81640625" bestFit="1" customWidth="1"/>
    <col min="5" max="5" width="6.08984375" bestFit="1" customWidth="1"/>
    <col min="6" max="6" width="10.1796875" bestFit="1" customWidth="1"/>
    <col min="7" max="7" width="19.26953125" bestFit="1" customWidth="1"/>
  </cols>
  <sheetData>
    <row r="1" spans="1:7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35">
      <c r="A2" s="1"/>
      <c r="B2" s="1"/>
      <c r="C2" s="1"/>
      <c r="D2" s="1"/>
      <c r="E2" s="1"/>
      <c r="F2" s="1" t="s">
        <v>19</v>
      </c>
      <c r="G2" s="1"/>
    </row>
    <row r="3" spans="1:7" x14ac:dyDescent="0.35">
      <c r="A3" s="1"/>
      <c r="B3" s="1"/>
      <c r="C3" s="1"/>
      <c r="D3" s="1"/>
      <c r="E3" s="1"/>
      <c r="F3" s="1" t="s">
        <v>20</v>
      </c>
      <c r="G3" s="1"/>
    </row>
    <row r="4" spans="1:7" x14ac:dyDescent="0.35">
      <c r="A4" s="1"/>
      <c r="B4" s="1"/>
      <c r="C4" s="1"/>
      <c r="D4" s="1"/>
      <c r="E4" s="1"/>
      <c r="F4" s="1" t="s">
        <v>21</v>
      </c>
      <c r="G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9782-F615-445C-AA1A-D59BBB9F720D}">
  <dimension ref="A1:O13"/>
  <sheetViews>
    <sheetView workbookViewId="0">
      <selection activeCell="C9" sqref="C9"/>
    </sheetView>
  </sheetViews>
  <sheetFormatPr defaultColWidth="13" defaultRowHeight="14.5" customHeight="1" x14ac:dyDescent="0.35"/>
  <cols>
    <col min="1" max="1" width="16.81640625" bestFit="1" customWidth="1"/>
    <col min="2" max="2" width="13.1796875" bestFit="1" customWidth="1"/>
    <col min="3" max="3" width="18.90625" bestFit="1" customWidth="1"/>
    <col min="4" max="4" width="13.1796875" bestFit="1" customWidth="1"/>
    <col min="5" max="5" width="16.08984375" bestFit="1" customWidth="1"/>
    <col min="6" max="6" width="13.36328125" bestFit="1" customWidth="1"/>
    <col min="7" max="7" width="19" bestFit="1" customWidth="1"/>
    <col min="8" max="8" width="12.26953125" bestFit="1" customWidth="1"/>
    <col min="9" max="9" width="10.08984375" bestFit="1" customWidth="1"/>
    <col min="10" max="10" width="9.26953125" bestFit="1" customWidth="1"/>
    <col min="11" max="11" width="4.54296875" bestFit="1" customWidth="1"/>
    <col min="12" max="12" width="21.453125" bestFit="1" customWidth="1"/>
    <col min="13" max="13" width="9.26953125" bestFit="1" customWidth="1"/>
    <col min="14" max="14" width="8.6328125" bestFit="1" customWidth="1"/>
    <col min="15" max="15" width="8.81640625" bestFit="1" customWidth="1"/>
  </cols>
  <sheetData>
    <row r="1" spans="1:15" ht="14.5" customHeight="1" x14ac:dyDescent="0.35">
      <c r="A1" s="7" t="s">
        <v>0</v>
      </c>
      <c r="B1" s="7" t="s">
        <v>39</v>
      </c>
      <c r="C1" s="7" t="s">
        <v>32</v>
      </c>
      <c r="D1" s="7" t="s">
        <v>38</v>
      </c>
      <c r="E1" s="7" t="s">
        <v>31</v>
      </c>
      <c r="F1" s="7" t="s">
        <v>37</v>
      </c>
      <c r="G1" s="7" t="s">
        <v>30</v>
      </c>
      <c r="H1" s="7" t="s">
        <v>36</v>
      </c>
      <c r="I1" s="7" t="s">
        <v>35</v>
      </c>
      <c r="J1" s="7" t="s">
        <v>1</v>
      </c>
      <c r="K1" s="7" t="s">
        <v>4</v>
      </c>
      <c r="L1" s="7" t="s">
        <v>34</v>
      </c>
      <c r="M1" s="8" t="s">
        <v>3</v>
      </c>
      <c r="N1" s="7" t="s">
        <v>5</v>
      </c>
      <c r="O1" s="7" t="s">
        <v>33</v>
      </c>
    </row>
    <row r="2" spans="1:15" ht="14.5" customHeight="1" x14ac:dyDescent="0.35">
      <c r="A2" s="4" t="s">
        <v>10</v>
      </c>
      <c r="B2" s="4">
        <f>VLOOKUP(A2,Logic!$B$2:$C$13,2,FALSE)</f>
        <v>1</v>
      </c>
      <c r="C2" s="4" t="s">
        <v>25</v>
      </c>
      <c r="D2" s="4">
        <f>VLOOKUP(C2,Logic!$B$2:$C$13,2,FALSE)</f>
        <v>2</v>
      </c>
      <c r="E2" s="4" t="s">
        <v>26</v>
      </c>
      <c r="F2" s="4">
        <f>VLOOKUP(E2,Logic!$B$2:$C$13,2,FALSE)</f>
        <v>2</v>
      </c>
      <c r="G2" s="4" t="s">
        <v>25</v>
      </c>
      <c r="H2" s="4">
        <f>VLOOKUP(G2,Logic!$B$2:$C$13,2,FALSE)</f>
        <v>2</v>
      </c>
      <c r="I2" s="4">
        <f>B2+D2+F2+H2</f>
        <v>7</v>
      </c>
      <c r="J2" s="4">
        <v>100</v>
      </c>
      <c r="K2" s="4">
        <v>65</v>
      </c>
      <c r="L2" s="6">
        <f>IF(I2&lt;=6,5%,IF(I2&lt;=9,10%,15%))</f>
        <v>0.1</v>
      </c>
      <c r="M2" s="3">
        <f>J2*(1-L2)</f>
        <v>90</v>
      </c>
      <c r="N2" s="5">
        <f>(M2-K2)/M2</f>
        <v>0.27777777777777779</v>
      </c>
      <c r="O2" s="1" t="str">
        <f>IF(N2&gt;0.3,"Low",IF(N2&gt;0.2,"Medium","High"))</f>
        <v>Medium</v>
      </c>
    </row>
    <row r="3" spans="1:15" ht="14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1"/>
      <c r="O3" s="1"/>
    </row>
    <row r="4" spans="1:15" ht="14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"/>
      <c r="N4" s="1"/>
      <c r="O4" s="1"/>
    </row>
    <row r="5" spans="1:15" ht="14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"/>
      <c r="N5" s="1"/>
      <c r="O5" s="1"/>
    </row>
    <row r="6" spans="1:15" ht="14.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1"/>
      <c r="O6" s="1"/>
    </row>
    <row r="7" spans="1:15" ht="14.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"/>
      <c r="N7" s="1"/>
      <c r="O7" s="1"/>
    </row>
    <row r="8" spans="1:15" ht="14.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3"/>
      <c r="N8" s="1"/>
      <c r="O8" s="1"/>
    </row>
    <row r="9" spans="1:15" ht="14.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3"/>
      <c r="N9" s="1"/>
      <c r="O9" s="1"/>
    </row>
    <row r="10" spans="1:15" ht="14.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3"/>
      <c r="N10" s="1"/>
      <c r="O10" s="1"/>
    </row>
    <row r="11" spans="1:15" ht="14.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3"/>
      <c r="N11" s="1"/>
      <c r="O11" s="1"/>
    </row>
    <row r="12" spans="1:15" ht="14.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3"/>
      <c r="N12" s="1"/>
      <c r="O12" s="1"/>
    </row>
    <row r="13" spans="1:15" ht="14.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3"/>
      <c r="N13" s="1"/>
      <c r="O13" s="1"/>
    </row>
  </sheetData>
  <dataValidations count="1">
    <dataValidation type="whole" allowBlank="1" showInputMessage="1" showErrorMessage="1" sqref="J2:K13 M2:M13 L3:L13" xr:uid="{074F6B91-4ECD-4B75-9F22-7DF297D0A609}">
      <formula1>1</formula1>
      <formula2>1E+21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0517-FB05-4650-9246-4BD768617920}">
  <dimension ref="A1:C13"/>
  <sheetViews>
    <sheetView workbookViewId="0">
      <selection activeCell="C9" sqref="C9"/>
    </sheetView>
  </sheetViews>
  <sheetFormatPr defaultRowHeight="14.5" x14ac:dyDescent="0.35"/>
  <cols>
    <col min="1" max="1" width="11.08984375" bestFit="1" customWidth="1"/>
    <col min="2" max="2" width="12" bestFit="1" customWidth="1"/>
    <col min="3" max="3" width="5.36328125" bestFit="1" customWidth="1"/>
  </cols>
  <sheetData>
    <row r="1" spans="1:3" x14ac:dyDescent="0.35">
      <c r="A1" s="9" t="s">
        <v>46</v>
      </c>
      <c r="B1" s="9" t="s">
        <v>45</v>
      </c>
      <c r="C1" s="9" t="s">
        <v>44</v>
      </c>
    </row>
    <row r="2" spans="1:3" x14ac:dyDescent="0.35">
      <c r="A2" s="4" t="s">
        <v>43</v>
      </c>
      <c r="B2" s="4" t="s">
        <v>8</v>
      </c>
      <c r="C2" s="4">
        <v>3</v>
      </c>
    </row>
    <row r="3" spans="1:3" x14ac:dyDescent="0.35">
      <c r="A3" s="4" t="s">
        <v>43</v>
      </c>
      <c r="B3" s="4" t="s">
        <v>9</v>
      </c>
      <c r="C3" s="4">
        <v>2</v>
      </c>
    </row>
    <row r="4" spans="1:3" x14ac:dyDescent="0.35">
      <c r="A4" s="4" t="s">
        <v>43</v>
      </c>
      <c r="B4" s="4" t="s">
        <v>10</v>
      </c>
      <c r="C4" s="4">
        <v>1</v>
      </c>
    </row>
    <row r="5" spans="1:3" x14ac:dyDescent="0.35">
      <c r="A5" s="4" t="s">
        <v>42</v>
      </c>
      <c r="B5" s="4" t="s">
        <v>24</v>
      </c>
      <c r="C5" s="4">
        <v>3</v>
      </c>
    </row>
    <row r="6" spans="1:3" x14ac:dyDescent="0.35">
      <c r="A6" s="4" t="s">
        <v>42</v>
      </c>
      <c r="B6" s="4" t="s">
        <v>25</v>
      </c>
      <c r="C6" s="4">
        <v>2</v>
      </c>
    </row>
    <row r="7" spans="1:3" x14ac:dyDescent="0.35">
      <c r="A7" s="4" t="s">
        <v>42</v>
      </c>
      <c r="B7" s="4" t="s">
        <v>29</v>
      </c>
      <c r="C7" s="4">
        <v>1</v>
      </c>
    </row>
    <row r="8" spans="1:3" x14ac:dyDescent="0.35">
      <c r="A8" s="4" t="s">
        <v>41</v>
      </c>
      <c r="B8" s="4" t="s">
        <v>23</v>
      </c>
      <c r="C8" s="4">
        <v>3</v>
      </c>
    </row>
    <row r="9" spans="1:3" x14ac:dyDescent="0.35">
      <c r="A9" s="4" t="s">
        <v>41</v>
      </c>
      <c r="B9" s="4" t="s">
        <v>26</v>
      </c>
      <c r="C9" s="4">
        <v>2</v>
      </c>
    </row>
    <row r="10" spans="1:3" x14ac:dyDescent="0.35">
      <c r="A10" s="4" t="s">
        <v>41</v>
      </c>
      <c r="B10" s="4" t="s">
        <v>28</v>
      </c>
      <c r="C10" s="4">
        <v>1</v>
      </c>
    </row>
    <row r="11" spans="1:3" x14ac:dyDescent="0.35">
      <c r="A11" s="4" t="s">
        <v>40</v>
      </c>
      <c r="B11" s="4" t="s">
        <v>22</v>
      </c>
      <c r="C11" s="4">
        <v>3</v>
      </c>
    </row>
    <row r="12" spans="1:3" x14ac:dyDescent="0.35">
      <c r="A12" s="4" t="s">
        <v>40</v>
      </c>
      <c r="B12" s="4" t="s">
        <v>25</v>
      </c>
      <c r="C12" s="4">
        <v>2</v>
      </c>
    </row>
    <row r="13" spans="1:3" x14ac:dyDescent="0.35">
      <c r="A13" s="4" t="s">
        <v>40</v>
      </c>
      <c r="B13" s="4" t="s">
        <v>27</v>
      </c>
      <c r="C13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2ABB-E7E9-412B-B5FC-2D56B7ABCEAD}">
  <dimension ref="A1:D5"/>
  <sheetViews>
    <sheetView workbookViewId="0">
      <selection activeCell="C9" sqref="C9"/>
    </sheetView>
  </sheetViews>
  <sheetFormatPr defaultRowHeight="14.5" x14ac:dyDescent="0.35"/>
  <cols>
    <col min="1" max="1" width="16.6328125" bestFit="1" customWidth="1"/>
    <col min="2" max="2" width="18.6328125" bestFit="1" customWidth="1"/>
    <col min="3" max="3" width="15.81640625" bestFit="1" customWidth="1"/>
    <col min="4" max="4" width="18.7265625" bestFit="1" customWidth="1"/>
  </cols>
  <sheetData>
    <row r="1" spans="1:4" x14ac:dyDescent="0.35">
      <c r="A1" t="s">
        <v>0</v>
      </c>
      <c r="B1" t="s">
        <v>32</v>
      </c>
      <c r="C1" t="s">
        <v>31</v>
      </c>
      <c r="D1" t="s">
        <v>30</v>
      </c>
    </row>
    <row r="2" spans="1:4" x14ac:dyDescent="0.35">
      <c r="A2" t="s">
        <v>8</v>
      </c>
      <c r="B2" t="s">
        <v>29</v>
      </c>
      <c r="C2" t="s">
        <v>28</v>
      </c>
      <c r="D2" t="s">
        <v>27</v>
      </c>
    </row>
    <row r="3" spans="1:4" x14ac:dyDescent="0.35">
      <c r="A3" t="s">
        <v>9</v>
      </c>
      <c r="B3" t="s">
        <v>25</v>
      </c>
      <c r="C3" t="s">
        <v>26</v>
      </c>
      <c r="D3" t="s">
        <v>25</v>
      </c>
    </row>
    <row r="4" spans="1:4" x14ac:dyDescent="0.35">
      <c r="A4" t="s">
        <v>10</v>
      </c>
      <c r="B4" t="s">
        <v>24</v>
      </c>
      <c r="C4" t="s">
        <v>23</v>
      </c>
      <c r="D4" t="s">
        <v>22</v>
      </c>
    </row>
    <row r="5" spans="1:4" x14ac:dyDescent="0.35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margin-sensitivity-analysis</vt:lpstr>
      <vt:lpstr>competitor-benchmark-template</vt:lpstr>
      <vt:lpstr>Inputs</vt:lpstr>
      <vt:lpstr>Logic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 Shekhar Jha</dc:creator>
  <cp:lastModifiedBy>Apurv Shekhar Jha</cp:lastModifiedBy>
  <dcterms:created xsi:type="dcterms:W3CDTF">2026-04-02T09:12:21Z</dcterms:created>
  <dcterms:modified xsi:type="dcterms:W3CDTF">2026-04-02T10:21:12Z</dcterms:modified>
</cp:coreProperties>
</file>